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eltares-my.sharepoint.com/personal/antonis_mavritsakis_deltares_nl/Documents/Documents/Python Projects/wsb-sentiment-analysis/Extra material/"/>
    </mc:Choice>
  </mc:AlternateContent>
  <xr:revisionPtr revIDLastSave="5" documentId="8_{AE05CE27-AF14-FA4F-9C85-642ECF2F2E5C}" xr6:coauthVersionLast="45" xr6:coauthVersionMax="47" xr10:uidLastSave="{4C8F61A1-D37E-4CC1-AB5D-D039BBA773CA}"/>
  <bookViews>
    <workbookView xWindow="3732" yWindow="3396" windowWidth="17280" windowHeight="8964" xr2:uid="{30FE6B77-69FC-4DBC-8EEB-94C32870D8DE}"/>
  </bookViews>
  <sheets>
    <sheet name="Black-Scholes" sheetId="20" r:id="rId1"/>
  </sheets>
  <definedNames>
    <definedName name="Results">#REF!</definedName>
    <definedName name="solver_adj" localSheetId="0" hidden="1">'Black-Scholes'!$H$20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'Black-Scholes'!$H$21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0" i="20" l="1"/>
  <c r="L21" i="20" s="1"/>
  <c r="H8" i="20"/>
  <c r="H11" i="20" s="1"/>
  <c r="A3" i="20" a="1"/>
  <c r="A3" i="20" s="1"/>
  <c r="I12" i="20"/>
  <c r="M23" i="20"/>
  <c r="I11" i="20"/>
  <c r="M21" i="20"/>
  <c r="I8" i="20"/>
  <c r="I9" i="20"/>
  <c r="I14" i="20"/>
  <c r="M20" i="20"/>
  <c r="M24" i="20"/>
  <c r="M26" i="20"/>
  <c r="I21" i="20"/>
  <c r="H9" i="20" l="1"/>
  <c r="H12" i="20" s="1"/>
  <c r="H14" i="20" s="1"/>
  <c r="L24" i="20"/>
  <c r="L23" i="20"/>
  <c r="L26" i="20" s="1"/>
  <c r="H21" i="20" l="1"/>
</calcChain>
</file>

<file path=xl/sharedStrings.xml><?xml version="1.0" encoding="utf-8"?>
<sst xmlns="http://schemas.openxmlformats.org/spreadsheetml/2006/main" count="37" uniqueCount="22">
  <si>
    <t>Call Price</t>
  </si>
  <si>
    <t>Strike Price</t>
  </si>
  <si>
    <t>S</t>
  </si>
  <si>
    <t>r</t>
  </si>
  <si>
    <t>T</t>
  </si>
  <si>
    <t>Current Stock Price</t>
  </si>
  <si>
    <t>Risk-Free Rate</t>
  </si>
  <si>
    <t>Stock Volatility</t>
  </si>
  <si>
    <t>σ</t>
  </si>
  <si>
    <t>Time to Maturity (years)</t>
  </si>
  <si>
    <t>d1</t>
  </si>
  <si>
    <t>d2</t>
  </si>
  <si>
    <t>N(d1)</t>
  </si>
  <si>
    <t>N(d2)</t>
  </si>
  <si>
    <t xml:space="preserve"> Black-Scholes Call Option</t>
  </si>
  <si>
    <t>Computing call option prices with the Black-Scholes formula.</t>
  </si>
  <si>
    <t>K</t>
  </si>
  <si>
    <t>s</t>
  </si>
  <si>
    <t>Computing implied volatility from call option price.</t>
  </si>
  <si>
    <t>C</t>
  </si>
  <si>
    <t>Implied Volatility</t>
  </si>
  <si>
    <t>Objective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</si>
</sst>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71C5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10" xfId="0" applyFill="1" applyBorder="1"/>
    <xf numFmtId="0" fontId="19" fillId="34" borderId="0" xfId="0" applyFont="1" applyFill="1"/>
    <xf numFmtId="164" fontId="0" fillId="37" borderId="10" xfId="0" applyNumberFormat="1" applyFill="1" applyBorder="1"/>
    <xf numFmtId="0" fontId="0" fillId="36" borderId="10" xfId="0" applyFill="1" applyBorder="1"/>
    <xf numFmtId="0" fontId="20" fillId="35" borderId="10" xfId="0" applyFont="1" applyFill="1" applyBorder="1"/>
    <xf numFmtId="10" fontId="0" fillId="36" borderId="10" xfId="42" applyNumberFormat="1" applyFont="1" applyFill="1" applyBorder="1"/>
    <xf numFmtId="10" fontId="0" fillId="34" borderId="0" xfId="42" applyNumberFormat="1" applyFont="1" applyFill="1"/>
    <xf numFmtId="2" fontId="0" fillId="36" borderId="10" xfId="42" applyNumberFormat="1" applyFont="1" applyFill="1" applyBorder="1"/>
    <xf numFmtId="9" fontId="0" fillId="37" borderId="10" xfId="42" applyFont="1" applyFill="1" applyBorder="1"/>
    <xf numFmtId="2" fontId="0" fillId="37" borderId="10" xfId="42" applyNumberFormat="1" applyFont="1" applyFill="1" applyBorder="1"/>
    <xf numFmtId="0" fontId="15" fillId="34" borderId="11" xfId="0" applyFont="1" applyFill="1" applyBorder="1" applyAlignment="1">
      <alignment horizontal="center"/>
    </xf>
    <xf numFmtId="0" fontId="18" fillId="33" borderId="0" xfId="0" applyFont="1" applyFill="1" applyAlignment="1">
      <alignment horizontal="left" vertical="center"/>
    </xf>
  </cellXfs>
  <cellStyles count="43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486E7806-8EB0-44A5-ABE3-220CE0F0063D}"/>
    <cellStyle name="60% - Accent2 2" xfId="37" xr:uid="{1B4A3BB3-9211-44DD-B78D-4874D5460C21}"/>
    <cellStyle name="60% - Accent3 2" xfId="38" xr:uid="{C6F01344-7E54-4329-8789-C23B16FFCDBD}"/>
    <cellStyle name="60% - Accent4 2" xfId="39" xr:uid="{F018FFCA-06E1-4B44-97EB-C06BF45D7B0D}"/>
    <cellStyle name="60% - Accent5 2" xfId="40" xr:uid="{293FF1FA-728E-4E0C-80F9-4CF13A1A5E1F}"/>
    <cellStyle name="60% - Accent6 2" xfId="41" xr:uid="{B195631A-295D-44CB-A2F1-B33758C9CA5D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D16A7924-7F14-4852-A884-40D8E2BFEA35}"/>
    <cellStyle name="Normal" xfId="0" builtinId="0"/>
    <cellStyle name="Note" xfId="14" builtinId="10" customBuiltin="1"/>
    <cellStyle name="Output" xfId="9" builtinId="21" customBuiltin="1"/>
    <cellStyle name="Percent" xfId="42" builtinId="5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0</xdr:rowOff>
    </xdr:from>
    <xdr:to>
      <xdr:col>2</xdr:col>
      <xdr:colOff>513631</xdr:colOff>
      <xdr:row>2</xdr:row>
      <xdr:rowOff>6611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" y="0"/>
          <a:ext cx="2574924" cy="374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304800</xdr:colOff>
      <xdr:row>7</xdr:row>
      <xdr:rowOff>2616</xdr:rowOff>
    </xdr:to>
    <xdr:sp macro="" textlink="">
      <xdr:nvSpPr>
        <xdr:cNvPr id="38" name="Arrow: Righ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4417786" y="1306286"/>
          <a:ext cx="304800" cy="184044"/>
        </a:xfrm>
        <a:prstGeom prst="rightArrow">
          <a:avLst/>
        </a:prstGeom>
        <a:solidFill>
          <a:srgbClr val="171C5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 editAs="oneCell">
    <xdr:from>
      <xdr:col>17</xdr:col>
      <xdr:colOff>458611</xdr:colOff>
      <xdr:row>7</xdr:row>
      <xdr:rowOff>88194</xdr:rowOff>
    </xdr:from>
    <xdr:to>
      <xdr:col>22</xdr:col>
      <xdr:colOff>141592</xdr:colOff>
      <xdr:row>16</xdr:row>
      <xdr:rowOff>126531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28472" y="1640416"/>
          <a:ext cx="3651731" cy="1784587"/>
        </a:xfrm>
        <a:prstGeom prst="rect">
          <a:avLst/>
        </a:prstGeom>
        <a:ln w="38100">
          <a:solidFill>
            <a:schemeClr val="accent5">
              <a:lumMod val="75000"/>
            </a:schemeClr>
          </a:solidFill>
        </a:ln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5</xdr:col>
      <xdr:colOff>304800</xdr:colOff>
      <xdr:row>19</xdr:row>
      <xdr:rowOff>2616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A98FCFC-9F25-4C9C-98A1-79707A34D4FE}"/>
            </a:ext>
          </a:extLst>
        </xdr:cNvPr>
        <xdr:cNvSpPr/>
      </xdr:nvSpPr>
      <xdr:spPr>
        <a:xfrm>
          <a:off x="4372429" y="3719286"/>
          <a:ext cx="304800" cy="184044"/>
        </a:xfrm>
        <a:prstGeom prst="rightArrow">
          <a:avLst/>
        </a:prstGeom>
        <a:solidFill>
          <a:srgbClr val="171C5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 editAs="oneCell">
    <xdr:from>
      <xdr:col>6</xdr:col>
      <xdr:colOff>15</xdr:colOff>
      <xdr:row>27</xdr:row>
      <xdr:rowOff>0</xdr:rowOff>
    </xdr:from>
    <xdr:to>
      <xdr:col>13</xdr:col>
      <xdr:colOff>593170</xdr:colOff>
      <xdr:row>57</xdr:row>
      <xdr:rowOff>43543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A1B8B13-BB4C-4806-A5E8-D163BD660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07229" y="5170714"/>
          <a:ext cx="5736655" cy="5486400"/>
        </a:xfrm>
        <a:prstGeom prst="rect">
          <a:avLst/>
        </a:prstGeom>
      </xdr:spPr>
    </xdr:pic>
    <xdr:clientData/>
  </xdr:twoCellAnchor>
  <xdr:twoCellAnchor editAs="oneCell">
    <xdr:from>
      <xdr:col>15</xdr:col>
      <xdr:colOff>229305</xdr:colOff>
      <xdr:row>26</xdr:row>
      <xdr:rowOff>70553</xdr:rowOff>
    </xdr:from>
    <xdr:to>
      <xdr:col>25</xdr:col>
      <xdr:colOff>64205</xdr:colOff>
      <xdr:row>40</xdr:row>
      <xdr:rowOff>59328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C580446-51C0-AE32-56E6-CB45C9862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11666" y="5362220"/>
          <a:ext cx="7772400" cy="2705164"/>
        </a:xfrm>
        <a:prstGeom prst="rect">
          <a:avLst/>
        </a:prstGeom>
        <a:ln w="38100">
          <a:solidFill>
            <a:schemeClr val="accent5">
              <a:lumMod val="75000"/>
            </a:schemeClr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C7D4E-BB75-4EB0-A6B8-52630AA6C9CB}">
  <sheetPr codeName="Sheet7">
    <tabColor rgb="FF002060"/>
  </sheetPr>
  <dimension ref="A1:M26"/>
  <sheetViews>
    <sheetView tabSelected="1" topLeftCell="A8" zoomScale="72" zoomScaleNormal="70" workbookViewId="0">
      <selection activeCell="B20" sqref="B20"/>
    </sheetView>
  </sheetViews>
  <sheetFormatPr defaultColWidth="10.44140625" defaultRowHeight="14.4" x14ac:dyDescent="0.3"/>
  <cols>
    <col min="1" max="1" width="10.44140625" style="2"/>
    <col min="2" max="2" width="20.44140625" style="2" customWidth="1"/>
    <col min="3" max="3" width="10.44140625" style="2" customWidth="1"/>
    <col min="4" max="16384" width="10.44140625" style="2"/>
  </cols>
  <sheetData>
    <row r="1" spans="1:9" x14ac:dyDescent="0.3">
      <c r="A1" s="2" t="s">
        <v>17</v>
      </c>
    </row>
    <row r="3" spans="1:9" s="1" customFormat="1" ht="27" customHeight="1" x14ac:dyDescent="0.3">
      <c r="A3" s="14" t="str">
        <f t="array" aca="1" ref="A3" ca="1">IFERROR(" "&amp;MID(CELL("filename",A1),FIND("]",CELL("filename",A1))+1,255),"")</f>
        <v xml:space="preserve"> Black-Scholes</v>
      </c>
      <c r="B3" s="14"/>
      <c r="C3" s="14"/>
      <c r="D3" s="14"/>
      <c r="E3" s="14"/>
      <c r="F3" s="14"/>
      <c r="G3" s="14"/>
    </row>
    <row r="5" spans="1:9" ht="18" x14ac:dyDescent="0.35">
      <c r="B5" s="4" t="s">
        <v>15</v>
      </c>
    </row>
    <row r="7" spans="1:9" x14ac:dyDescent="0.3">
      <c r="B7" s="3" t="s">
        <v>5</v>
      </c>
      <c r="C7" s="3" t="s">
        <v>2</v>
      </c>
      <c r="D7" s="6">
        <v>50</v>
      </c>
      <c r="G7" s="13" t="s">
        <v>14</v>
      </c>
      <c r="H7" s="13"/>
    </row>
    <row r="8" spans="1:9" x14ac:dyDescent="0.3">
      <c r="B8" s="3" t="s">
        <v>1</v>
      </c>
      <c r="C8" s="3" t="s">
        <v>16</v>
      </c>
      <c r="D8" s="6">
        <v>45</v>
      </c>
      <c r="G8" s="3" t="s">
        <v>10</v>
      </c>
      <c r="H8" s="5">
        <f>(LN(D7/D8)+(D9+0.5*D11^2)*D10)/(D11*SQRT(D10))</f>
        <v>0.63453505219275452</v>
      </c>
      <c r="I8" s="2" t="e">
        <f ca="1">getformula(H8)</f>
        <v>#NAME?</v>
      </c>
    </row>
    <row r="9" spans="1:9" x14ac:dyDescent="0.3">
      <c r="B9" s="3" t="s">
        <v>6</v>
      </c>
      <c r="C9" s="3" t="s">
        <v>3</v>
      </c>
      <c r="D9" s="8">
        <v>0.04</v>
      </c>
      <c r="G9" s="3" t="s">
        <v>11</v>
      </c>
      <c r="H9" s="5">
        <f>H8-D11*SQRT(D10)</f>
        <v>0.33453505219275453</v>
      </c>
      <c r="I9" s="2" t="e">
        <f t="shared" ref="I9:I14" ca="1" si="0">getformula(H9)</f>
        <v>#NAME?</v>
      </c>
    </row>
    <row r="10" spans="1:9" x14ac:dyDescent="0.3">
      <c r="B10" s="3" t="s">
        <v>9</v>
      </c>
      <c r="C10" s="3" t="s">
        <v>4</v>
      </c>
      <c r="D10" s="6">
        <v>1</v>
      </c>
    </row>
    <row r="11" spans="1:9" x14ac:dyDescent="0.3">
      <c r="B11" s="3" t="s">
        <v>7</v>
      </c>
      <c r="C11" s="7" t="s">
        <v>8</v>
      </c>
      <c r="D11" s="8">
        <v>0.3</v>
      </c>
      <c r="G11" s="3" t="s">
        <v>12</v>
      </c>
      <c r="H11" s="5">
        <f>NORMSDIST(H8)</f>
        <v>0.73713415061729415</v>
      </c>
      <c r="I11" s="2" t="e">
        <f t="shared" ca="1" si="0"/>
        <v>#NAME?</v>
      </c>
    </row>
    <row r="12" spans="1:9" x14ac:dyDescent="0.3">
      <c r="G12" s="3" t="s">
        <v>13</v>
      </c>
      <c r="H12" s="5">
        <f>NORMSDIST(H9)</f>
        <v>0.63101207743156207</v>
      </c>
      <c r="I12" s="2" t="e">
        <f t="shared" ca="1" si="0"/>
        <v>#NAME?</v>
      </c>
    </row>
    <row r="14" spans="1:9" x14ac:dyDescent="0.3">
      <c r="G14" s="3" t="s">
        <v>0</v>
      </c>
      <c r="H14" s="5">
        <f>D7*H11-D8*EXP(-D9*D10)*H12</f>
        <v>9.5745692320431317</v>
      </c>
      <c r="I14" s="2" t="e">
        <f t="shared" ca="1" si="0"/>
        <v>#NAME?</v>
      </c>
    </row>
    <row r="15" spans="1:9" x14ac:dyDescent="0.3">
      <c r="D15" s="9"/>
    </row>
    <row r="17" spans="2:13" ht="18" x14ac:dyDescent="0.35">
      <c r="B17" s="4" t="s">
        <v>18</v>
      </c>
    </row>
    <row r="19" spans="2:13" x14ac:dyDescent="0.3">
      <c r="B19" s="3" t="s">
        <v>5</v>
      </c>
      <c r="C19" s="3" t="s">
        <v>2</v>
      </c>
      <c r="D19" s="6">
        <v>50</v>
      </c>
      <c r="K19" s="13" t="s">
        <v>14</v>
      </c>
      <c r="L19" s="13"/>
    </row>
    <row r="20" spans="2:13" x14ac:dyDescent="0.3">
      <c r="B20" s="3" t="s">
        <v>1</v>
      </c>
      <c r="C20" s="3" t="s">
        <v>16</v>
      </c>
      <c r="D20" s="6">
        <v>45</v>
      </c>
      <c r="G20" s="3" t="s">
        <v>20</v>
      </c>
      <c r="H20" s="11">
        <v>0.26400000000000001</v>
      </c>
      <c r="K20" s="3" t="s">
        <v>10</v>
      </c>
      <c r="L20" s="5">
        <f>(LN(D19/D20)+(D21+0.5*H20^2)*D22)/(H20*SQRT(D22))</f>
        <v>0.68260801385540282</v>
      </c>
      <c r="M20" s="2" t="e">
        <f ca="1">getformula(L20)</f>
        <v>#NAME?</v>
      </c>
    </row>
    <row r="21" spans="2:13" x14ac:dyDescent="0.3">
      <c r="B21" s="3" t="s">
        <v>6</v>
      </c>
      <c r="C21" s="3" t="s">
        <v>3</v>
      </c>
      <c r="D21" s="8">
        <v>0.04</v>
      </c>
      <c r="G21" s="3" t="s">
        <v>21</v>
      </c>
      <c r="H21" s="12">
        <f>ABS(L26-D23)</f>
        <v>4.0335999010885359E-3</v>
      </c>
      <c r="I21" s="2" t="e">
        <f ca="1">getformula(H21)</f>
        <v>#NAME?</v>
      </c>
      <c r="K21" s="3" t="s">
        <v>11</v>
      </c>
      <c r="L21" s="5">
        <f>L20-H20*SQRT(D22)</f>
        <v>0.41860801385540281</v>
      </c>
      <c r="M21" s="2" t="e">
        <f ca="1">getformula(L21)</f>
        <v>#NAME?</v>
      </c>
    </row>
    <row r="22" spans="2:13" x14ac:dyDescent="0.3">
      <c r="B22" s="3" t="s">
        <v>9</v>
      </c>
      <c r="C22" s="3" t="s">
        <v>4</v>
      </c>
      <c r="D22" s="6">
        <v>1</v>
      </c>
    </row>
    <row r="23" spans="2:13" x14ac:dyDescent="0.3">
      <c r="B23" s="3" t="s">
        <v>0</v>
      </c>
      <c r="C23" s="7" t="s">
        <v>19</v>
      </c>
      <c r="D23" s="10">
        <v>9</v>
      </c>
      <c r="K23" s="3" t="s">
        <v>12</v>
      </c>
      <c r="L23" s="5">
        <f>NORMSDIST(L20)</f>
        <v>0.75257271558441952</v>
      </c>
      <c r="M23" s="2" t="e">
        <f ca="1">getformula(L23)</f>
        <v>#NAME?</v>
      </c>
    </row>
    <row r="24" spans="2:13" x14ac:dyDescent="0.3">
      <c r="K24" s="3" t="s">
        <v>13</v>
      </c>
      <c r="L24" s="5">
        <f>NORMSDIST(L21)</f>
        <v>0.66224868408174953</v>
      </c>
      <c r="M24" s="2" t="e">
        <f ca="1">getformula(L24)</f>
        <v>#NAME?</v>
      </c>
    </row>
    <row r="26" spans="2:13" x14ac:dyDescent="0.3">
      <c r="K26" s="3" t="s">
        <v>0</v>
      </c>
      <c r="L26" s="5">
        <f>D19*L23-D20*EXP(-D21*D22)*L24</f>
        <v>8.9959664000989115</v>
      </c>
      <c r="M26" s="2" t="e">
        <f ca="1">getformula(L26)</f>
        <v>#NAME?</v>
      </c>
    </row>
  </sheetData>
  <mergeCells count="3">
    <mergeCell ref="K19:L19"/>
    <mergeCell ref="A3:G3"/>
    <mergeCell ref="G7:H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Black-Scholes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Gelly Fu</dc:creator>
  <cp:lastModifiedBy>Antonis Mavritsakis</cp:lastModifiedBy>
  <dcterms:created xsi:type="dcterms:W3CDTF">2020-09-10T14:50:10Z</dcterms:created>
  <dcterms:modified xsi:type="dcterms:W3CDTF">2022-05-29T19:36:17Z</dcterms:modified>
</cp:coreProperties>
</file>